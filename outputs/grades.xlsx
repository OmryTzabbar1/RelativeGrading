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ades" sheetId="1" state="visible" r:id="rId1"/>
    <sheet name="Categories" sheetId="2" state="visible" r:id="rId2"/>
    <sheet name="All Criteria" sheetId="3" state="visible" r:id="rId3"/>
    <sheet name="Statistic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F2CC"/>
        <bgColor rgb="00FFF2CC"/>
      </patternFill>
    </fill>
    <fill>
      <patternFill patternType="solid">
        <fgColor rgb="00FFC7CE"/>
        <bgColor rgb="00FFC7CE"/>
      </patternFill>
    </fill>
    <fill>
      <patternFill patternType="solid">
        <fgColor rgb="00D9E2F3"/>
        <bgColor rgb="00D9E2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2" fontId="0" fillId="4" borderId="1" applyAlignment="1" pivotButton="0" quotePrefix="0" xfId="0">
      <alignment horizontal="center"/>
    </xf>
    <xf numFmtId="0" fontId="0" fillId="4" borderId="1" applyAlignment="1" pivotButton="0" quotePrefix="0" xfId="0">
      <alignment wrapText="1"/>
    </xf>
    <xf numFmtId="0" fontId="0" fillId="5" borderId="1" applyAlignment="1" pivotButton="0" quotePrefix="0" xfId="0">
      <alignment horizontal="center"/>
    </xf>
    <xf numFmtId="164" fontId="0" fillId="5" borderId="1" applyAlignment="1" pivotButton="0" quotePrefix="0" xfId="0">
      <alignment horizontal="center"/>
    </xf>
    <xf numFmtId="2" fontId="0" fillId="5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2" fillId="0" borderId="1" pivotButton="0" quotePrefix="0" xfId="0"/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0" fontId="3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8" customWidth="1" min="3" max="3"/>
    <col width="12" customWidth="1" min="4" max="4"/>
    <col width="11" customWidth="1" min="5" max="5"/>
    <col width="13" customWidth="1" min="6" max="6"/>
    <col width="12" customWidth="1" min="7" max="7"/>
    <col width="13" customWidth="1" min="8" max="8"/>
    <col width="60" customWidth="1" min="9" max="9"/>
  </cols>
  <sheetData>
    <row r="1">
      <c r="A1" s="1" t="inlineStr">
        <is>
          <t>Rank</t>
        </is>
      </c>
      <c r="B1" s="1" t="inlineStr">
        <is>
          <t>Student ID</t>
        </is>
      </c>
      <c r="C1" s="1" t="inlineStr">
        <is>
          <t>Grade</t>
        </is>
      </c>
      <c r="D1" s="1" t="inlineStr">
        <is>
          <t>Percentage</t>
        </is>
      </c>
      <c r="E1" s="1" t="inlineStr">
        <is>
          <t>Raw Score</t>
        </is>
      </c>
      <c r="F1" s="1" t="inlineStr">
        <is>
          <t>Max Possible</t>
        </is>
      </c>
      <c r="G1" s="1" t="inlineStr">
        <is>
          <t>Criteria Met</t>
        </is>
      </c>
      <c r="H1" s="1" t="inlineStr">
        <is>
          <t>Total Criteria</t>
        </is>
      </c>
      <c r="I1" s="1" t="inlineStr">
        <is>
          <t>Notable Features</t>
        </is>
      </c>
    </row>
    <row r="2">
      <c r="A2" s="2" t="n">
        <v>1</v>
      </c>
      <c r="B2" s="2" t="inlineStr">
        <is>
          <t>38970</t>
        </is>
      </c>
      <c r="C2" s="3" t="n">
        <v>100</v>
      </c>
      <c r="D2" s="3" t="n">
        <v>85.2</v>
      </c>
      <c r="E2" s="4" t="n">
        <v>12.31</v>
      </c>
      <c r="F2" s="2" t="n">
        <v>14.45</v>
      </c>
      <c r="G2" s="2" t="n">
        <v>42</v>
      </c>
      <c r="H2" s="2" t="n">
        <v>58</v>
      </c>
      <c r="I2" s="5" t="inlineStr">
        <is>
          <t>C4 Architecture, 7 ADRs, Accessibility Audit, Kubernetes, Charts.js Dashboard</t>
        </is>
      </c>
    </row>
    <row r="3">
      <c r="A3" s="2" t="n">
        <v>2</v>
      </c>
      <c r="B3" s="2" t="inlineStr">
        <is>
          <t>38981</t>
        </is>
      </c>
      <c r="C3" s="3" t="n">
        <v>98.7</v>
      </c>
      <c r="D3" s="3" t="n">
        <v>84.09999999999999</v>
      </c>
      <c r="E3" s="4" t="n">
        <v>12.15</v>
      </c>
      <c r="F3" s="2" t="n">
        <v>14.45</v>
      </c>
      <c r="G3" s="2" t="n">
        <v>40</v>
      </c>
      <c r="H3" s="2" t="n">
        <v>58</v>
      </c>
      <c r="I3" s="5" t="inlineStr">
        <is>
          <t>457 tests (92.35% coverage), CI/CD, CodeQL, Dual Interface, 26 Screenshots</t>
        </is>
      </c>
    </row>
    <row r="4">
      <c r="A4" s="2" t="n">
        <v>3</v>
      </c>
      <c r="B4" s="2" t="inlineStr">
        <is>
          <t>59378</t>
        </is>
      </c>
      <c r="C4" s="3" t="n">
        <v>96.5</v>
      </c>
      <c r="D4" s="3" t="n">
        <v>82.3</v>
      </c>
      <c r="E4" s="4" t="n">
        <v>11.89</v>
      </c>
      <c r="F4" s="2" t="n">
        <v>14.45</v>
      </c>
      <c r="G4" s="2" t="n">
        <v>38</v>
      </c>
      <c r="H4" s="2" t="n">
        <v>58</v>
      </c>
      <c r="I4" s="5" t="inlineStr">
        <is>
          <t>457 tests (92.35% coverage), CI/CD, CodeQL, Dual Interface</t>
        </is>
      </c>
    </row>
    <row r="5">
      <c r="A5" s="2" t="n">
        <v>4</v>
      </c>
      <c r="B5" s="2" t="inlineStr">
        <is>
          <t>38959</t>
        </is>
      </c>
      <c r="C5" s="3" t="n">
        <v>94.40000000000001</v>
      </c>
      <c r="D5" s="3" t="n">
        <v>80.5</v>
      </c>
      <c r="E5" s="4" t="n">
        <v>11.63</v>
      </c>
      <c r="F5" s="2" t="n">
        <v>14.45</v>
      </c>
      <c r="G5" s="2" t="n">
        <v>36</v>
      </c>
      <c r="H5" s="2" t="n">
        <v>58</v>
      </c>
      <c r="I5" s="5" t="inlineStr">
        <is>
          <t>C4 Architecture, ADRs, Jupyter Notebooks, Cost Analysis, Parameter Investigation</t>
        </is>
      </c>
    </row>
    <row r="6">
      <c r="A6" s="2" t="n">
        <v>5</v>
      </c>
      <c r="B6" s="2" t="inlineStr">
        <is>
          <t>38960</t>
        </is>
      </c>
      <c r="C6" s="3" t="n">
        <v>94.40000000000001</v>
      </c>
      <c r="D6" s="3" t="n">
        <v>80.5</v>
      </c>
      <c r="E6" s="4" t="n">
        <v>11.63</v>
      </c>
      <c r="F6" s="2" t="n">
        <v>14.45</v>
      </c>
      <c r="G6" s="2" t="n">
        <v>36</v>
      </c>
      <c r="H6" s="2" t="n">
        <v>58</v>
      </c>
      <c r="I6" s="5" t="inlineStr">
        <is>
          <t>Duplicate of 38959 - C4 Architecture, ADRs, Jupyter Notebooks</t>
        </is>
      </c>
    </row>
    <row r="7">
      <c r="A7" s="2" t="n">
        <v>6</v>
      </c>
      <c r="B7" s="2" t="inlineStr">
        <is>
          <t>38950</t>
        </is>
      </c>
      <c r="C7" s="3" t="n">
        <v>92.2</v>
      </c>
      <c r="D7" s="3" t="n">
        <v>78.59999999999999</v>
      </c>
      <c r="E7" s="4" t="n">
        <v>11.36</v>
      </c>
      <c r="F7" s="2" t="n">
        <v>14.45</v>
      </c>
      <c r="G7" s="2" t="n">
        <v>35</v>
      </c>
      <c r="H7" s="2" t="n">
        <v>58</v>
      </c>
      <c r="I7" s="5" t="inlineStr">
        <is>
          <t>Comprehensive PRD, E2E Tests, Full Testing Suite</t>
        </is>
      </c>
    </row>
    <row r="8">
      <c r="A8" s="2" t="n">
        <v>7</v>
      </c>
      <c r="B8" s="2" t="inlineStr">
        <is>
          <t>38952</t>
        </is>
      </c>
      <c r="C8" s="3" t="n">
        <v>90</v>
      </c>
      <c r="D8" s="3" t="n">
        <v>76.7</v>
      </c>
      <c r="E8" s="4" t="n">
        <v>11.08</v>
      </c>
      <c r="F8" s="2" t="n">
        <v>14.45</v>
      </c>
      <c r="G8" s="2" t="n">
        <v>33</v>
      </c>
      <c r="H8" s="2" t="n">
        <v>58</v>
      </c>
      <c r="I8" s="5" t="inlineStr">
        <is>
          <t>1600+ line README, Export Functionality, User Profiles, macOS App</t>
        </is>
      </c>
    </row>
    <row r="9">
      <c r="A9" s="6" t="n">
        <v>8</v>
      </c>
      <c r="B9" s="6" t="inlineStr">
        <is>
          <t>38951</t>
        </is>
      </c>
      <c r="C9" s="7" t="n">
        <v>87.8</v>
      </c>
      <c r="D9" s="7" t="n">
        <v>74.90000000000001</v>
      </c>
      <c r="E9" s="8" t="n">
        <v>10.82</v>
      </c>
      <c r="F9" s="6" t="n">
        <v>14.45</v>
      </c>
      <c r="G9" s="6" t="n">
        <v>31</v>
      </c>
      <c r="H9" s="6" t="n">
        <v>58</v>
      </c>
      <c r="I9" s="5" t="inlineStr">
        <is>
          <t>93% test coverage, 150+ tests, Angular Architecture</t>
        </is>
      </c>
    </row>
    <row r="10">
      <c r="A10" s="6" t="n">
        <v>9</v>
      </c>
      <c r="B10" s="6" t="inlineStr">
        <is>
          <t>38988</t>
        </is>
      </c>
      <c r="C10" s="7" t="n">
        <v>86.7</v>
      </c>
      <c r="D10" s="7" t="n">
        <v>73.90000000000001</v>
      </c>
      <c r="E10" s="8" t="n">
        <v>10.68</v>
      </c>
      <c r="F10" s="6" t="n">
        <v>14.45</v>
      </c>
      <c r="G10" s="6" t="n">
        <v>30</v>
      </c>
      <c r="H10" s="6" t="n">
        <v>58</v>
      </c>
      <c r="I10" s="5" t="inlineStr">
        <is>
          <t>155 tests, 71%/75% coverage, CI/CD, Agno Framework</t>
        </is>
      </c>
    </row>
    <row r="11">
      <c r="A11" s="9" t="n">
        <v>10</v>
      </c>
      <c r="B11" s="9" t="inlineStr">
        <is>
          <t>38989</t>
        </is>
      </c>
      <c r="C11" s="10" t="n">
        <v>86.7</v>
      </c>
      <c r="D11" s="10" t="n">
        <v>73.90000000000001</v>
      </c>
      <c r="E11" s="11" t="n">
        <v>10.68</v>
      </c>
      <c r="F11" s="9" t="n">
        <v>14.45</v>
      </c>
      <c r="G11" s="9" t="n">
        <v>30</v>
      </c>
      <c r="H11" s="9" t="n">
        <v>58</v>
      </c>
      <c r="I11" s="12" t="inlineStr">
        <is>
          <t>Duplicate of 38988</t>
        </is>
      </c>
    </row>
    <row r="12">
      <c r="A12" s="6" t="n">
        <v>11</v>
      </c>
      <c r="B12" s="6" t="inlineStr">
        <is>
          <t>38979</t>
        </is>
      </c>
      <c r="C12" s="7" t="n">
        <v>85.59999999999999</v>
      </c>
      <c r="D12" s="7" t="n">
        <v>72.90000000000001</v>
      </c>
      <c r="E12" s="8" t="n">
        <v>10.54</v>
      </c>
      <c r="F12" s="6" t="n">
        <v>14.45</v>
      </c>
      <c r="G12" s="6" t="n">
        <v>29</v>
      </c>
      <c r="H12" s="6" t="n">
        <v>58</v>
      </c>
      <c r="I12" s="5" t="inlineStr">
        <is>
          <t>26+ docs, 5 ADRs, Cost Analysis, Plugin System PRD</t>
        </is>
      </c>
    </row>
    <row r="13">
      <c r="A13" s="6" t="n">
        <v>12</v>
      </c>
      <c r="B13" s="6" t="inlineStr">
        <is>
          <t>38980</t>
        </is>
      </c>
      <c r="C13" s="7" t="n">
        <v>85.59999999999999</v>
      </c>
      <c r="D13" s="7" t="n">
        <v>72.90000000000001</v>
      </c>
      <c r="E13" s="8" t="n">
        <v>10.54</v>
      </c>
      <c r="F13" s="6" t="n">
        <v>14.45</v>
      </c>
      <c r="G13" s="6" t="n">
        <v>29</v>
      </c>
      <c r="H13" s="6" t="n">
        <v>58</v>
      </c>
      <c r="I13" s="5" t="inlineStr">
        <is>
          <t>30+ docs, Voice Input, 5 ADRs, Cost Analysis</t>
        </is>
      </c>
    </row>
    <row r="14">
      <c r="A14" s="6" t="n">
        <v>13</v>
      </c>
      <c r="B14" s="6" t="inlineStr">
        <is>
          <t>38982</t>
        </is>
      </c>
      <c r="C14" s="7" t="n">
        <v>84.40000000000001</v>
      </c>
      <c r="D14" s="7" t="n">
        <v>72</v>
      </c>
      <c r="E14" s="8" t="n">
        <v>10.4</v>
      </c>
      <c r="F14" s="6" t="n">
        <v>14.45</v>
      </c>
      <c r="G14" s="6" t="n">
        <v>28</v>
      </c>
      <c r="H14" s="6" t="n">
        <v>58</v>
      </c>
      <c r="I14" s="5" t="inlineStr">
        <is>
          <t>Playwright E2E, LangGraph, 3 ADRs, React/TypeScript</t>
        </is>
      </c>
    </row>
    <row r="15">
      <c r="A15" s="6" t="n">
        <v>14</v>
      </c>
      <c r="B15" s="6" t="inlineStr">
        <is>
          <t>38963</t>
        </is>
      </c>
      <c r="C15" s="7" t="n">
        <v>82.2</v>
      </c>
      <c r="D15" s="7" t="n">
        <v>70.09999999999999</v>
      </c>
      <c r="E15" s="8" t="n">
        <v>10.13</v>
      </c>
      <c r="F15" s="6" t="n">
        <v>14.45</v>
      </c>
      <c r="G15" s="6" t="n">
        <v>27</v>
      </c>
      <c r="H15" s="6" t="n">
        <v>58</v>
      </c>
      <c r="I15" s="5" t="inlineStr">
        <is>
          <t>86 tests, 100% backend coverage, FastAPI + Next.js</t>
        </is>
      </c>
    </row>
    <row r="16">
      <c r="A16" s="6" t="n">
        <v>15</v>
      </c>
      <c r="B16" s="6" t="inlineStr">
        <is>
          <t>38953</t>
        </is>
      </c>
      <c r="C16" s="7" t="n">
        <v>80</v>
      </c>
      <c r="D16" s="7" t="n">
        <v>68.2</v>
      </c>
      <c r="E16" s="8" t="n">
        <v>9.85</v>
      </c>
      <c r="F16" s="6" t="n">
        <v>14.45</v>
      </c>
      <c r="G16" s="6" t="n">
        <v>26</v>
      </c>
      <c r="H16" s="6" t="n">
        <v>58</v>
      </c>
      <c r="I16" s="5" t="inlineStr">
        <is>
          <t>PostgreSQL, Agno Framework, Multi-conversation</t>
        </is>
      </c>
    </row>
    <row r="17">
      <c r="A17" s="6" t="n">
        <v>16</v>
      </c>
      <c r="B17" s="6" t="inlineStr">
        <is>
          <t>38993</t>
        </is>
      </c>
      <c r="C17" s="7" t="n">
        <v>78.90000000000001</v>
      </c>
      <c r="D17" s="7" t="n">
        <v>67.3</v>
      </c>
      <c r="E17" s="8" t="n">
        <v>9.720000000000001</v>
      </c>
      <c r="F17" s="6" t="n">
        <v>14.45</v>
      </c>
      <c r="G17" s="6" t="n">
        <v>25</v>
      </c>
      <c r="H17" s="6" t="n">
        <v>58</v>
      </c>
      <c r="I17" s="5" t="inlineStr">
        <is>
          <t>FastAPI, React/TypeScript, Multi-conversation, Research Docs</t>
        </is>
      </c>
    </row>
    <row r="18">
      <c r="A18" s="6" t="n">
        <v>17</v>
      </c>
      <c r="B18" s="6" t="inlineStr">
        <is>
          <t>59375</t>
        </is>
      </c>
      <c r="C18" s="7" t="n">
        <v>77.8</v>
      </c>
      <c r="D18" s="7" t="n">
        <v>66.3</v>
      </c>
      <c r="E18" s="8" t="n">
        <v>9.58</v>
      </c>
      <c r="F18" s="6" t="n">
        <v>14.45</v>
      </c>
      <c r="G18" s="6" t="n">
        <v>24</v>
      </c>
      <c r="H18" s="6" t="n">
        <v>58</v>
      </c>
      <c r="I18" s="5" t="inlineStr">
        <is>
          <t>35 tests, 3-layer Architecture, Parameter Analysis</t>
        </is>
      </c>
    </row>
    <row r="19">
      <c r="A19" s="6" t="n">
        <v>18</v>
      </c>
      <c r="B19" s="6" t="inlineStr">
        <is>
          <t>59373</t>
        </is>
      </c>
      <c r="C19" s="7" t="n">
        <v>76.7</v>
      </c>
      <c r="D19" s="7" t="n">
        <v>65.40000000000001</v>
      </c>
      <c r="E19" s="8" t="n">
        <v>9.449999999999999</v>
      </c>
      <c r="F19" s="6" t="n">
        <v>14.45</v>
      </c>
      <c r="G19" s="6" t="n">
        <v>23</v>
      </c>
      <c r="H19" s="6" t="n">
        <v>58</v>
      </c>
      <c r="I19" s="5" t="inlineStr">
        <is>
          <t>Beautiful UI, Export (TXT/MD/JSON), User Profiles</t>
        </is>
      </c>
    </row>
    <row r="20">
      <c r="A20" s="6" t="n">
        <v>19</v>
      </c>
      <c r="B20" s="6" t="inlineStr">
        <is>
          <t>38954</t>
        </is>
      </c>
      <c r="C20" s="7" t="n">
        <v>74.40000000000001</v>
      </c>
      <c r="D20" s="7" t="n">
        <v>63.5</v>
      </c>
      <c r="E20" s="8" t="n">
        <v>9.17</v>
      </c>
      <c r="F20" s="6" t="n">
        <v>14.45</v>
      </c>
      <c r="G20" s="6" t="n">
        <v>22</v>
      </c>
      <c r="H20" s="6" t="n">
        <v>58</v>
      </c>
      <c r="I20" s="5" t="inlineStr">
        <is>
          <t>PRD, Unit Tests, Prompt Book</t>
        </is>
      </c>
    </row>
    <row r="21">
      <c r="A21" s="6" t="n">
        <v>20</v>
      </c>
      <c r="B21" s="6" t="inlineStr">
        <is>
          <t>38955</t>
        </is>
      </c>
      <c r="C21" s="7" t="n">
        <v>74.40000000000001</v>
      </c>
      <c r="D21" s="7" t="n">
        <v>63.5</v>
      </c>
      <c r="E21" s="8" t="n">
        <v>9.17</v>
      </c>
      <c r="F21" s="6" t="n">
        <v>14.45</v>
      </c>
      <c r="G21" s="6" t="n">
        <v>22</v>
      </c>
      <c r="H21" s="6" t="n">
        <v>58</v>
      </c>
      <c r="I21" s="5" t="inlineStr">
        <is>
          <t>PRD, Unit Tests, PROCESS.md/PROMPTS.md</t>
        </is>
      </c>
    </row>
    <row r="22">
      <c r="A22" s="9" t="n">
        <v>21</v>
      </c>
      <c r="B22" s="9" t="inlineStr">
        <is>
          <t>38958</t>
        </is>
      </c>
      <c r="C22" s="10" t="n">
        <v>74.40000000000001</v>
      </c>
      <c r="D22" s="10" t="n">
        <v>63.5</v>
      </c>
      <c r="E22" s="11" t="n">
        <v>9.17</v>
      </c>
      <c r="F22" s="9" t="n">
        <v>14.45</v>
      </c>
      <c r="G22" s="9" t="n">
        <v>22</v>
      </c>
      <c r="H22" s="9" t="n">
        <v>58</v>
      </c>
      <c r="I22" s="12" t="inlineStr">
        <is>
          <t>Duplicate of 38950 baseline</t>
        </is>
      </c>
    </row>
    <row r="23">
      <c r="A23" s="9" t="n">
        <v>22</v>
      </c>
      <c r="B23" s="9" t="inlineStr">
        <is>
          <t>38964</t>
        </is>
      </c>
      <c r="C23" s="10" t="n">
        <v>74.40000000000001</v>
      </c>
      <c r="D23" s="10" t="n">
        <v>63.5</v>
      </c>
      <c r="E23" s="11" t="n">
        <v>9.17</v>
      </c>
      <c r="F23" s="9" t="n">
        <v>14.45</v>
      </c>
      <c r="G23" s="9" t="n">
        <v>22</v>
      </c>
      <c r="H23" s="9" t="n">
        <v>58</v>
      </c>
      <c r="I23" s="12" t="inlineStr">
        <is>
          <t>Duplicate of 38954</t>
        </is>
      </c>
    </row>
    <row r="24">
      <c r="A24" s="9" t="n">
        <v>23</v>
      </c>
      <c r="B24" s="9" t="inlineStr">
        <is>
          <t>38957</t>
        </is>
      </c>
      <c r="C24" s="10" t="n">
        <v>73.3</v>
      </c>
      <c r="D24" s="10" t="n">
        <v>62.5</v>
      </c>
      <c r="E24" s="11" t="n">
        <v>9.029999999999999</v>
      </c>
      <c r="F24" s="9" t="n">
        <v>14.45</v>
      </c>
      <c r="G24" s="9" t="n">
        <v>21</v>
      </c>
      <c r="H24" s="9" t="n">
        <v>58</v>
      </c>
      <c r="I24" s="12" t="inlineStr">
        <is>
          <t>Duplicate of 38951 - Git Best Practices</t>
        </is>
      </c>
    </row>
    <row r="25">
      <c r="A25" s="6" t="n">
        <v>24</v>
      </c>
      <c r="B25" s="6" t="inlineStr">
        <is>
          <t>38962</t>
        </is>
      </c>
      <c r="C25" s="7" t="n">
        <v>72.2</v>
      </c>
      <c r="D25" s="7" t="n">
        <v>61.6</v>
      </c>
      <c r="E25" s="8" t="n">
        <v>8.9</v>
      </c>
      <c r="F25" s="6" t="n">
        <v>14.45</v>
      </c>
      <c r="G25" s="6" t="n">
        <v>20</v>
      </c>
      <c r="H25" s="6" t="n">
        <v>58</v>
      </c>
      <c r="I25" s="5" t="inlineStr">
        <is>
          <t>Multiple exercises, AI_PROMPTS.md</t>
        </is>
      </c>
    </row>
    <row r="26">
      <c r="A26" s="6" t="n">
        <v>25</v>
      </c>
      <c r="B26" s="6" t="inlineStr">
        <is>
          <t>38969</t>
        </is>
      </c>
      <c r="C26" s="7" t="n">
        <v>71.09999999999999</v>
      </c>
      <c r="D26" s="7" t="n">
        <v>60.6</v>
      </c>
      <c r="E26" s="8" t="n">
        <v>8.76</v>
      </c>
      <c r="F26" s="6" t="n">
        <v>14.45</v>
      </c>
      <c r="G26" s="6" t="n">
        <v>19</v>
      </c>
      <c r="H26" s="6" t="n">
        <v>58</v>
      </c>
      <c r="I26" s="5" t="inlineStr">
        <is>
          <t>Chainlit, 80%+ coverage, Dark/Light Theme</t>
        </is>
      </c>
    </row>
    <row r="27">
      <c r="A27" s="6" t="n">
        <v>26</v>
      </c>
      <c r="B27" s="6" t="inlineStr">
        <is>
          <t>59376</t>
        </is>
      </c>
      <c r="C27" s="7" t="n">
        <v>71.09999999999999</v>
      </c>
      <c r="D27" s="7" t="n">
        <v>60.6</v>
      </c>
      <c r="E27" s="8" t="n">
        <v>8.76</v>
      </c>
      <c r="F27" s="6" t="n">
        <v>14.45</v>
      </c>
      <c r="G27" s="6" t="n">
        <v>19</v>
      </c>
      <c r="H27" s="6" t="n">
        <v>58</v>
      </c>
      <c r="I27" s="5" t="inlineStr">
        <is>
          <t>Chainlit, File Upload, 80%+ coverage</t>
        </is>
      </c>
    </row>
    <row r="28">
      <c r="A28" s="6" t="n">
        <v>27</v>
      </c>
      <c r="B28" s="6" t="inlineStr">
        <is>
          <t>38961</t>
        </is>
      </c>
      <c r="C28" s="7" t="n">
        <v>70</v>
      </c>
      <c r="D28" s="7" t="n">
        <v>59.7</v>
      </c>
      <c r="E28" s="8" t="n">
        <v>8.619999999999999</v>
      </c>
      <c r="F28" s="6" t="n">
        <v>14.45</v>
      </c>
      <c r="G28" s="6" t="n">
        <v>18</v>
      </c>
      <c r="H28" s="6" t="n">
        <v>58</v>
      </c>
      <c r="I28" s="5" t="inlineStr">
        <is>
          <t>7 meaningful commits (best Git practices)</t>
        </is>
      </c>
    </row>
    <row r="29">
      <c r="A29" s="6" t="n">
        <v>28</v>
      </c>
      <c r="B29" s="6" t="inlineStr">
        <is>
          <t>38971</t>
        </is>
      </c>
      <c r="C29" s="7" t="n">
        <v>68.90000000000001</v>
      </c>
      <c r="D29" s="7" t="n">
        <v>58.7</v>
      </c>
      <c r="E29" s="8" t="n">
        <v>8.49</v>
      </c>
      <c r="F29" s="6" t="n">
        <v>14.45</v>
      </c>
      <c r="G29" s="6" t="n">
        <v>17</v>
      </c>
      <c r="H29" s="6" t="n">
        <v>58</v>
      </c>
      <c r="I29" s="5" t="inlineStr">
        <is>
          <t>Multi-agent, Multiple Exercises, OpenCode Config</t>
        </is>
      </c>
    </row>
    <row r="30">
      <c r="A30" s="6" t="n">
        <v>29</v>
      </c>
      <c r="B30" s="6" t="inlineStr">
        <is>
          <t>38977</t>
        </is>
      </c>
      <c r="C30" s="7" t="n">
        <v>67.8</v>
      </c>
      <c r="D30" s="7" t="n">
        <v>57.8</v>
      </c>
      <c r="E30" s="8" t="n">
        <v>8.35</v>
      </c>
      <c r="F30" s="6" t="n">
        <v>14.45</v>
      </c>
      <c r="G30" s="6" t="n">
        <v>16</v>
      </c>
      <c r="H30" s="6" t="n">
        <v>58</v>
      </c>
      <c r="I30" s="5" t="inlineStr">
        <is>
          <t>Multiple exercise folders, Experiment Reports</t>
        </is>
      </c>
    </row>
    <row r="31">
      <c r="A31" s="6" t="n">
        <v>30</v>
      </c>
      <c r="B31" s="6" t="inlineStr">
        <is>
          <t>38973</t>
        </is>
      </c>
      <c r="C31" s="7" t="n">
        <v>66.7</v>
      </c>
      <c r="D31" s="7" t="n">
        <v>56.8</v>
      </c>
      <c r="E31" s="8" t="n">
        <v>8.210000000000001</v>
      </c>
      <c r="F31" s="6" t="n">
        <v>14.45</v>
      </c>
      <c r="G31" s="6" t="n">
        <v>15</v>
      </c>
      <c r="H31" s="6" t="n">
        <v>58</v>
      </c>
      <c r="I31" s="5" t="inlineStr">
        <is>
          <t>Reflex UI, Pydantic-AI, Multi-agent</t>
        </is>
      </c>
    </row>
    <row r="32">
      <c r="A32" s="6" t="n">
        <v>31</v>
      </c>
      <c r="B32" s="6" t="inlineStr">
        <is>
          <t>38984</t>
        </is>
      </c>
      <c r="C32" s="7" t="n">
        <v>64.40000000000001</v>
      </c>
      <c r="D32" s="7" t="n">
        <v>54.9</v>
      </c>
      <c r="E32" s="8" t="n">
        <v>7.94</v>
      </c>
      <c r="F32" s="6" t="n">
        <v>14.45</v>
      </c>
      <c r="G32" s="6" t="n">
        <v>14</v>
      </c>
      <c r="H32" s="6" t="n">
        <v>58</v>
      </c>
      <c r="I32" s="5" t="inlineStr">
        <is>
          <t>Flask chatbot, 40+ tests, API Auth</t>
        </is>
      </c>
    </row>
    <row r="33">
      <c r="A33" s="6" t="n">
        <v>32</v>
      </c>
      <c r="B33" s="6" t="inlineStr">
        <is>
          <t>38990</t>
        </is>
      </c>
      <c r="C33" s="7" t="n">
        <v>64.40000000000001</v>
      </c>
      <c r="D33" s="7" t="n">
        <v>54.9</v>
      </c>
      <c r="E33" s="8" t="n">
        <v>7.94</v>
      </c>
      <c r="F33" s="6" t="n">
        <v>14.45</v>
      </c>
      <c r="G33" s="6" t="n">
        <v>14</v>
      </c>
      <c r="H33" s="6" t="n">
        <v>58</v>
      </c>
      <c r="I33" s="5" t="inlineStr">
        <is>
          <t>Flask Web UI, 40+ tests</t>
        </is>
      </c>
    </row>
    <row r="34">
      <c r="A34" s="6" t="n">
        <v>33</v>
      </c>
      <c r="B34" s="6" t="inlineStr">
        <is>
          <t>38966</t>
        </is>
      </c>
      <c r="C34" s="7" t="n">
        <v>62.2</v>
      </c>
      <c r="D34" s="7" t="n">
        <v>53</v>
      </c>
      <c r="E34" s="8" t="n">
        <v>7.66</v>
      </c>
      <c r="F34" s="6" t="n">
        <v>14.45</v>
      </c>
      <c r="G34" s="6" t="n">
        <v>13</v>
      </c>
      <c r="H34" s="6" t="n">
        <v>58</v>
      </c>
      <c r="I34" s="5" t="inlineStr">
        <is>
          <t>README with 3 UI options, 16 tests</t>
        </is>
      </c>
    </row>
    <row r="35">
      <c r="A35" s="13" t="n">
        <v>34</v>
      </c>
      <c r="B35" s="13" t="inlineStr">
        <is>
          <t>38986</t>
        </is>
      </c>
      <c r="C35" s="14" t="n">
        <v>57.8</v>
      </c>
      <c r="D35" s="14" t="n">
        <v>49.3</v>
      </c>
      <c r="E35" s="15" t="n">
        <v>7.12</v>
      </c>
      <c r="F35" s="13" t="n">
        <v>14.45</v>
      </c>
      <c r="G35" s="13" t="n">
        <v>11</v>
      </c>
      <c r="H35" s="13" t="n">
        <v>58</v>
      </c>
      <c r="I35" s="5" t="inlineStr">
        <is>
          <t>Multiple README versions, Cross-platform</t>
        </is>
      </c>
    </row>
    <row r="36">
      <c r="A36" s="13" t="n">
        <v>35</v>
      </c>
      <c r="B36" s="13" t="inlineStr">
        <is>
          <t>38992</t>
        </is>
      </c>
      <c r="C36" s="14" t="n">
        <v>57.8</v>
      </c>
      <c r="D36" s="14" t="n">
        <v>49.3</v>
      </c>
      <c r="E36" s="15" t="n">
        <v>7.12</v>
      </c>
      <c r="F36" s="13" t="n">
        <v>14.45</v>
      </c>
      <c r="G36" s="13" t="n">
        <v>11</v>
      </c>
      <c r="H36" s="13" t="n">
        <v>58</v>
      </c>
      <c r="I36" s="5" t="inlineStr">
        <is>
          <t>Multiple iterations, Version docs</t>
        </is>
      </c>
    </row>
    <row r="37">
      <c r="A37" s="13" t="n">
        <v>36</v>
      </c>
      <c r="B37" s="13" t="inlineStr">
        <is>
          <t>38985</t>
        </is>
      </c>
      <c r="C37" s="14" t="n">
        <v>53.3</v>
      </c>
      <c r="D37" s="14" t="n">
        <v>45.5</v>
      </c>
      <c r="E37" s="15" t="n">
        <v>6.57</v>
      </c>
      <c r="F37" s="13" t="n">
        <v>14.45</v>
      </c>
      <c r="G37" s="13" t="n">
        <v>9</v>
      </c>
      <c r="H37" s="13" t="n">
        <v>58</v>
      </c>
      <c r="I37" s="5" t="inlineStr">
        <is>
          <t>Agent orchestration, Integration testing only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3" customWidth="1" min="3" max="3"/>
    <col width="12" customWidth="1" min="4" max="4"/>
    <col width="50" customWidth="1" min="5" max="5"/>
  </cols>
  <sheetData>
    <row r="1">
      <c r="A1" s="16" t="inlineStr">
        <is>
          <t>Category</t>
        </is>
      </c>
      <c r="B1" s="16" t="inlineStr">
        <is>
          <t>Criteria Count</t>
        </is>
      </c>
      <c r="C1" s="16" t="inlineStr">
        <is>
          <t>Total Weight</t>
        </is>
      </c>
      <c r="D1" s="16" t="inlineStr">
        <is>
          <t>% of Total</t>
        </is>
      </c>
      <c r="E1" s="16" t="inlineStr">
        <is>
          <t>Description</t>
        </is>
      </c>
    </row>
    <row r="2">
      <c r="A2" s="6" t="inlineStr">
        <is>
          <t>Documentation</t>
        </is>
      </c>
      <c r="B2" s="6" t="n">
        <v>15</v>
      </c>
      <c r="C2" s="6" t="n">
        <v>5.75</v>
      </c>
      <c r="D2" s="6" t="inlineStr">
        <is>
          <t>39.8%</t>
        </is>
      </c>
      <c r="E2" s="17" t="inlineStr">
        <is>
          <t>README, installation, usage guides, API docs</t>
        </is>
      </c>
    </row>
    <row r="3">
      <c r="A3" s="6" t="inlineStr">
        <is>
          <t>CodeQuality</t>
        </is>
      </c>
      <c r="B3" s="6" t="n">
        <v>12</v>
      </c>
      <c r="C3" s="6" t="n">
        <v>3.06</v>
      </c>
      <c r="D3" s="6" t="inlineStr">
        <is>
          <t>21.2%</t>
        </is>
      </c>
      <c r="E3" s="17" t="inlineStr">
        <is>
          <t>Type safety, themes, streaming, persistence</t>
        </is>
      </c>
    </row>
    <row r="4">
      <c r="A4" s="6" t="inlineStr">
        <is>
          <t>Planning</t>
        </is>
      </c>
      <c r="B4" s="6" t="n">
        <v>9</v>
      </c>
      <c r="C4" s="6" t="n">
        <v>2.16</v>
      </c>
      <c r="D4" s="6" t="inlineStr">
        <is>
          <t>14.9%</t>
        </is>
      </c>
      <c r="E4" s="17" t="inlineStr">
        <is>
          <t>PRD, architecture, ADRs, requirements</t>
        </is>
      </c>
    </row>
    <row r="5">
      <c r="A5" s="6" t="inlineStr">
        <is>
          <t>DevOps</t>
        </is>
      </c>
      <c r="B5" s="6" t="n">
        <v>8</v>
      </c>
      <c r="C5" s="6" t="n">
        <v>0.86</v>
      </c>
      <c r="D5" s="6" t="inlineStr">
        <is>
          <t>5.9%</t>
        </is>
      </c>
      <c r="E5" s="17" t="inlineStr">
        <is>
          <t>CI/CD, Docker, deployment, security scanning</t>
        </is>
      </c>
    </row>
    <row r="6">
      <c r="A6" s="6" t="inlineStr">
        <is>
          <t>Testing</t>
        </is>
      </c>
      <c r="B6" s="6" t="n">
        <v>6</v>
      </c>
      <c r="C6" s="6" t="n">
        <v>1.97</v>
      </c>
      <c r="D6" s="6" t="inlineStr">
        <is>
          <t>13.6%</t>
        </is>
      </c>
      <c r="E6" s="17" t="inlineStr">
        <is>
          <t>Unit tests, E2E, integration, coverage</t>
        </is>
      </c>
    </row>
    <row r="7">
      <c r="A7" s="6" t="inlineStr">
        <is>
          <t>Visuals</t>
        </is>
      </c>
      <c r="B7" s="6" t="n">
        <v>3</v>
      </c>
      <c r="C7" s="6" t="n">
        <v>0.47</v>
      </c>
      <c r="D7" s="6" t="inlineStr">
        <is>
          <t>3.3%</t>
        </is>
      </c>
      <c r="E7" s="17" t="inlineStr">
        <is>
          <t>Screenshots, diagrams, dashboards</t>
        </is>
      </c>
    </row>
    <row r="8">
      <c r="A8" s="6" t="inlineStr">
        <is>
          <t>Research</t>
        </is>
      </c>
      <c r="B8" s="6" t="n">
        <v>3</v>
      </c>
      <c r="C8" s="6" t="n">
        <v>0.25</v>
      </c>
      <c r="D8" s="6" t="inlineStr">
        <is>
          <t>1.7%</t>
        </is>
      </c>
      <c r="E8" s="17" t="inlineStr">
        <is>
          <t>Jupyter notebooks, model comparison</t>
        </is>
      </c>
    </row>
    <row r="9">
      <c r="A9" s="6" t="inlineStr">
        <is>
          <t>Business</t>
        </is>
      </c>
      <c r="B9" s="6" t="n">
        <v>2</v>
      </c>
      <c r="C9" s="6" t="n">
        <v>0.19</v>
      </c>
      <c r="D9" s="6" t="inlineStr">
        <is>
          <t>1.3%</t>
        </is>
      </c>
      <c r="E9" s="17" t="inlineStr">
        <is>
          <t>Cost analysis, KPIs/success metrics</t>
        </is>
      </c>
    </row>
    <row r="10">
      <c r="A10" s="6" t="inlineStr">
        <is>
          <t>Uncategorized</t>
        </is>
      </c>
      <c r="B10" s="6" t="n">
        <v>4</v>
      </c>
      <c r="C10" s="6" t="n">
        <v>0.19</v>
      </c>
      <c r="D10" s="6" t="inlineStr">
        <is>
          <t>1.3%</t>
        </is>
      </c>
      <c r="E10" s="17" t="inlineStr">
        <is>
          <t>Multi-agent, voice input, file upload</t>
        </is>
      </c>
    </row>
    <row r="11">
      <c r="A11" s="18" t="inlineStr">
        <is>
          <t>TOTAL</t>
        </is>
      </c>
      <c r="B11" s="18" t="n">
        <v>58</v>
      </c>
      <c r="C11" s="18" t="n">
        <v>14.45</v>
      </c>
      <c r="D11" s="18" t="inlineStr">
        <is>
          <t>100%</t>
        </is>
      </c>
      <c r="E11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14" customWidth="1" min="3" max="3"/>
    <col width="10" customWidth="1" min="4" max="4"/>
    <col width="12" customWidth="1" min="5" max="5"/>
    <col width="80" customWidth="1" min="6" max="6"/>
  </cols>
  <sheetData>
    <row r="1">
      <c r="A1" s="16" t="inlineStr">
        <is>
          <t>Criterion</t>
        </is>
      </c>
      <c r="B1" s="16" t="inlineStr">
        <is>
          <t>Category</t>
        </is>
      </c>
      <c r="C1" s="16" t="inlineStr">
        <is>
          <t>Student Count</t>
        </is>
      </c>
      <c r="D1" s="16" t="inlineStr">
        <is>
          <t>Weight</t>
        </is>
      </c>
      <c r="E1" s="16" t="inlineStr">
        <is>
          <t>Prevalence</t>
        </is>
      </c>
      <c r="F1" s="16" t="inlineStr">
        <is>
          <t>Students</t>
        </is>
      </c>
    </row>
    <row r="2">
      <c r="A2" s="6" t="inlineStr">
        <is>
          <t>README</t>
        </is>
      </c>
      <c r="B2" s="6" t="inlineStr">
        <is>
          <t>Documentation</t>
        </is>
      </c>
      <c r="C2" s="6" t="n">
        <v>36</v>
      </c>
      <c r="D2" s="20" t="n">
        <v>1</v>
      </c>
      <c r="E2" s="6" t="inlineStr">
        <is>
          <t>100%</t>
        </is>
      </c>
      <c r="F2" s="5" t="inlineStr">
        <is>
          <t>38950, 38951, 38952, 38953, 38954, 38955, 38957, 38958, 38959, 38960, 38961, 38962, 38963, 38964, 38966, 38969, 38970, 38971, 38973, 38977, 38979, 38980, 38981, 38982, 38984, 38985, 38986, 38988, 38989, 38990, 38992, 38993, 59373, 59375, 59376, 59378</t>
        </is>
      </c>
    </row>
    <row r="3">
      <c r="A3" s="6" t="inlineStr">
        <is>
          <t>Unit Tests</t>
        </is>
      </c>
      <c r="B3" s="6" t="inlineStr">
        <is>
          <t>Testing</t>
        </is>
      </c>
      <c r="C3" s="6" t="n">
        <v>29</v>
      </c>
      <c r="D3" s="20" t="n">
        <v>0.806</v>
      </c>
      <c r="E3" s="6" t="inlineStr">
        <is>
          <t>81%</t>
        </is>
      </c>
      <c r="F3" s="5" t="inlineStr">
        <is>
          <t>38950, 38951, 38952, 38953, 38954, 38955, 38957, 38958, 38959, 38960, 38961, 38962, 38963, 38964, 38966, 38969, 38970, 38973, 38981, 38982, 38984, 38988, 38989, 38990, 38993, 59373, 59375, 59376, 59378</t>
        </is>
      </c>
    </row>
    <row r="4">
      <c r="A4" s="6" t="inlineStr">
        <is>
          <t>Installation Instructions</t>
        </is>
      </c>
      <c r="B4" s="6" t="inlineStr">
        <is>
          <t>Documentation</t>
        </is>
      </c>
      <c r="C4" s="6" t="n">
        <v>29</v>
      </c>
      <c r="D4" s="20" t="n">
        <v>0.806</v>
      </c>
      <c r="E4" s="6" t="inlineStr">
        <is>
          <t>81%</t>
        </is>
      </c>
      <c r="F4" s="5" t="inlineStr">
        <is>
          <t>38950, 38951, 38952, 38953, 38954, 38955, 38959, 38960, 38962, 38966, 38969, 38970, 38971, 38973, 38977, 38979, 38980, 38981, 38982, 38984, 38986, 38988, 38990, 38992, 38993, 59373, 59375, 59376, 59378</t>
        </is>
      </c>
    </row>
    <row r="5">
      <c r="A5" s="6" t="inlineStr">
        <is>
          <t>PRD Document</t>
        </is>
      </c>
      <c r="B5" s="6" t="inlineStr">
        <is>
          <t>Planning</t>
        </is>
      </c>
      <c r="C5" s="6" t="n">
        <v>26</v>
      </c>
      <c r="D5" s="20" t="n">
        <v>0.722</v>
      </c>
      <c r="E5" s="6" t="inlineStr">
        <is>
          <t>72%</t>
        </is>
      </c>
      <c r="F5" s="5" t="inlineStr">
        <is>
          <t>38950, 38951, 38952, 38953, 38954, 38955, 38957, 38958, 38959, 38960, 38961, 38962, 38963, 38964, 38966, 38970, 38971, 38977, 38979, 38980, 38981, 38982, 38988, 38989, 38993, 59375</t>
        </is>
      </c>
    </row>
    <row r="6">
      <c r="A6" s="6" t="inlineStr">
        <is>
          <t>Architecture Documentation</t>
        </is>
      </c>
      <c r="B6" s="6" t="inlineStr">
        <is>
          <t>Planning</t>
        </is>
      </c>
      <c r="C6" s="6" t="n">
        <v>21</v>
      </c>
      <c r="D6" s="20" t="n">
        <v>0.583</v>
      </c>
      <c r="E6" s="6" t="inlineStr">
        <is>
          <t>58%</t>
        </is>
      </c>
      <c r="F6" s="5" t="inlineStr">
        <is>
          <t>38950, 38951, 38952, 38953, 38957, 38959, 38960, 38963, 38970, 38971, 38977, 38979, 38980, 38981, 38982, 38988, 38989, 38993, 59373, 59375, 59378</t>
        </is>
      </c>
    </row>
    <row r="7">
      <c r="A7" s="6" t="inlineStr">
        <is>
          <t>Testing Documentation</t>
        </is>
      </c>
      <c r="B7" s="6" t="inlineStr">
        <is>
          <t>Testing</t>
        </is>
      </c>
      <c r="C7" s="6" t="n">
        <v>20</v>
      </c>
      <c r="D7" s="20" t="n">
        <v>0.556</v>
      </c>
      <c r="E7" s="6" t="inlineStr">
        <is>
          <t>56%</t>
        </is>
      </c>
      <c r="F7" s="5" t="inlineStr">
        <is>
          <t>38950, 38951, 38952, 38953, 38954, 38955, 38959, 38960, 38962, 38963, 38970, 38979, 38980, 38981, 38982, 38992, 38993, 59373, 59375, 59378</t>
        </is>
      </c>
    </row>
    <row r="8">
      <c r="A8" s="6" t="inlineStr">
        <is>
          <t>Chat History Persistence</t>
        </is>
      </c>
      <c r="B8" s="6" t="inlineStr">
        <is>
          <t>CodeQuality</t>
        </is>
      </c>
      <c r="C8" s="6" t="n">
        <v>18</v>
      </c>
      <c r="D8" s="20" t="n">
        <v>0.5</v>
      </c>
      <c r="E8" s="6" t="inlineStr">
        <is>
          <t>50%</t>
        </is>
      </c>
      <c r="F8" s="5" t="inlineStr">
        <is>
          <t>38950, 38951, 38952, 38953, 38959, 38960, 38962, 38963, 38970, 38981, 38982, 38984, 38988, 38990, 38993, 59373, 59375, 59378</t>
        </is>
      </c>
    </row>
    <row r="9">
      <c r="A9" s="6" t="inlineStr">
        <is>
          <t>Test Coverage Metrics</t>
        </is>
      </c>
      <c r="B9" s="6" t="inlineStr">
        <is>
          <t>Testing</t>
        </is>
      </c>
      <c r="C9" s="6" t="n">
        <v>17</v>
      </c>
      <c r="D9" s="20" t="n">
        <v>0.472</v>
      </c>
      <c r="E9" s="6" t="inlineStr">
        <is>
          <t>47%</t>
        </is>
      </c>
      <c r="F9" s="5" t="inlineStr">
        <is>
          <t>38950, 38951, 38952, 38959, 38960, 38963, 38969, 38970, 38981, 38982, 38984, 38988, 38989, 38990, 59375, 59376, 59378</t>
        </is>
      </c>
    </row>
    <row r="10">
      <c r="A10" s="6" t="inlineStr">
        <is>
          <t>Usage Guide</t>
        </is>
      </c>
      <c r="B10" s="6" t="inlineStr">
        <is>
          <t>Documentation</t>
        </is>
      </c>
      <c r="C10" s="6" t="n">
        <v>17</v>
      </c>
      <c r="D10" s="20" t="n">
        <v>0.472</v>
      </c>
      <c r="E10" s="6" t="inlineStr">
        <is>
          <t>47%</t>
        </is>
      </c>
      <c r="F10" s="5" t="inlineStr">
        <is>
          <t>38950, 38951, 38952, 38953, 38954, 38959, 38960, 38962, 38970, 38977, 38979, 38980, 38981, 38993, 59373, 59375, 59378</t>
        </is>
      </c>
    </row>
    <row r="11">
      <c r="A11" s="6" t="inlineStr">
        <is>
          <t>Real-time Streaming (SSE)</t>
        </is>
      </c>
      <c r="B11" s="6" t="inlineStr">
        <is>
          <t>CodeQuality</t>
        </is>
      </c>
      <c r="C11" s="6" t="n">
        <v>15</v>
      </c>
      <c r="D11" s="20" t="n">
        <v>0.417</v>
      </c>
      <c r="E11" s="6" t="inlineStr">
        <is>
          <t>42%</t>
        </is>
      </c>
      <c r="F11" s="5" t="inlineStr">
        <is>
          <t>38950, 38951, 38952, 38953, 38959, 38960, 38963, 38969, 38970, 38981, 38982, 38988, 38989, 59376, 59378</t>
        </is>
      </c>
    </row>
    <row r="12">
      <c r="A12" s="6" t="inlineStr">
        <is>
          <t>Markdown Rendering</t>
        </is>
      </c>
      <c r="B12" s="6" t="inlineStr">
        <is>
          <t>CodeQuality</t>
        </is>
      </c>
      <c r="C12" s="6" t="n">
        <v>15</v>
      </c>
      <c r="D12" s="20" t="n">
        <v>0.417</v>
      </c>
      <c r="E12" s="6" t="inlineStr">
        <is>
          <t>42%</t>
        </is>
      </c>
      <c r="F12" s="5" t="inlineStr">
        <is>
          <t>38950, 38951, 38952, 38953, 38959, 38960, 38963, 38970, 38981, 38982, 38984, 38988, 38990, 38993, 59378</t>
        </is>
      </c>
    </row>
    <row r="13">
      <c r="A13" s="6" t="inlineStr">
        <is>
          <t>Project Structure Documentation</t>
        </is>
      </c>
      <c r="B13" s="6" t="inlineStr">
        <is>
          <t>Documentation</t>
        </is>
      </c>
      <c r="C13" s="6" t="n">
        <v>14</v>
      </c>
      <c r="D13" s="20" t="n">
        <v>0.389</v>
      </c>
      <c r="E13" s="6" t="inlineStr">
        <is>
          <t>39%</t>
        </is>
      </c>
      <c r="F13" s="5" t="inlineStr">
        <is>
          <t>38950, 38951, 38952, 38953, 38959, 38960, 38970, 38981, 38982, 38988, 38993, 59373, 59375, 59378</t>
        </is>
      </c>
    </row>
    <row r="14">
      <c r="A14" s="6" t="inlineStr">
        <is>
          <t>Technology Stack Documentation</t>
        </is>
      </c>
      <c r="B14" s="6" t="inlineStr">
        <is>
          <t>Documentation</t>
        </is>
      </c>
      <c r="C14" s="6" t="n">
        <v>14</v>
      </c>
      <c r="D14" s="20" t="n">
        <v>0.389</v>
      </c>
      <c r="E14" s="6" t="inlineStr">
        <is>
          <t>39%</t>
        </is>
      </c>
      <c r="F14" s="5" t="inlineStr">
        <is>
          <t>38950, 38951, 38952, 38953, 38959, 38960, 38963, 38970, 38981, 38982, 38988, 38993, 59375, 59378</t>
        </is>
      </c>
    </row>
    <row r="15">
      <c r="A15" s="6" t="inlineStr">
        <is>
          <t>Privacy/Security Documentation</t>
        </is>
      </c>
      <c r="B15" s="6" t="inlineStr">
        <is>
          <t>Documentation</t>
        </is>
      </c>
      <c r="C15" s="6" t="n">
        <v>12</v>
      </c>
      <c r="D15" s="20" t="n">
        <v>0.333</v>
      </c>
      <c r="E15" s="6" t="inlineStr">
        <is>
          <t>33%</t>
        </is>
      </c>
      <c r="F15" s="5" t="inlineStr">
        <is>
          <t>38950, 38951, 38952, 38953, 38954, 38955, 38959, 38960, 38963, 38970, 38981, 59373</t>
        </is>
      </c>
    </row>
    <row r="16">
      <c r="A16" s="6" t="inlineStr">
        <is>
          <t>Responsive Design</t>
        </is>
      </c>
      <c r="B16" s="6" t="inlineStr">
        <is>
          <t>CodeQuality</t>
        </is>
      </c>
      <c r="C16" s="6" t="n">
        <v>12</v>
      </c>
      <c r="D16" s="20" t="n">
        <v>0.333</v>
      </c>
      <c r="E16" s="6" t="inlineStr">
        <is>
          <t>33%</t>
        </is>
      </c>
      <c r="F16" s="5" t="inlineStr">
        <is>
          <t>38950, 38951, 38952, 38953, 38959, 38960, 38970, 38981, 38984, 38990, 59373, 59378</t>
        </is>
      </c>
    </row>
    <row r="17">
      <c r="A17" s="6" t="inlineStr">
        <is>
          <t>API Documentation</t>
        </is>
      </c>
      <c r="B17" s="6" t="inlineStr">
        <is>
          <t>Documentation</t>
        </is>
      </c>
      <c r="C17" s="6" t="n">
        <v>11</v>
      </c>
      <c r="D17" s="20" t="n">
        <v>0.306</v>
      </c>
      <c r="E17" s="6" t="inlineStr">
        <is>
          <t>31%</t>
        </is>
      </c>
      <c r="F17" s="5" t="inlineStr">
        <is>
          <t>38950, 38953, 38959, 38960, 38963, 38970, 38977, 38982, 38984, 38988, 38993</t>
        </is>
      </c>
    </row>
    <row r="18">
      <c r="A18" s="6" t="inlineStr">
        <is>
          <t>Screenshots</t>
        </is>
      </c>
      <c r="B18" s="6" t="inlineStr">
        <is>
          <t>Visuals</t>
        </is>
      </c>
      <c r="C18" s="6" t="n">
        <v>10</v>
      </c>
      <c r="D18" s="20" t="n">
        <v>0.278</v>
      </c>
      <c r="E18" s="6" t="inlineStr">
        <is>
          <t>28%</t>
        </is>
      </c>
      <c r="F18" s="5" t="inlineStr">
        <is>
          <t>38950, 38951, 38952, 38959, 38960, 38970, 38981, 38993, 59375, 59378</t>
        </is>
      </c>
    </row>
    <row r="19">
      <c r="A19" s="6" t="inlineStr">
        <is>
          <t>Dark/Light Theme Support</t>
        </is>
      </c>
      <c r="B19" s="6" t="inlineStr">
        <is>
          <t>CodeQuality</t>
        </is>
      </c>
      <c r="C19" s="6" t="n">
        <v>10</v>
      </c>
      <c r="D19" s="20" t="n">
        <v>0.278</v>
      </c>
      <c r="E19" s="6" t="inlineStr">
        <is>
          <t>28%</t>
        </is>
      </c>
      <c r="F19" s="5" t="inlineStr">
        <is>
          <t>38950, 38951, 38952, 38959, 38960, 38969, 38970, 38981, 59373, 59376</t>
        </is>
      </c>
    </row>
    <row r="20">
      <c r="A20" s="6" t="inlineStr">
        <is>
          <t>Type Safety (Pydantic/TypeScript)</t>
        </is>
      </c>
      <c r="B20" s="6" t="inlineStr">
        <is>
          <t>CodeQuality</t>
        </is>
      </c>
      <c r="C20" s="6" t="n">
        <v>10</v>
      </c>
      <c r="D20" s="20" t="n">
        <v>0.278</v>
      </c>
      <c r="E20" s="6" t="inlineStr">
        <is>
          <t>28%</t>
        </is>
      </c>
      <c r="F20" s="5" t="inlineStr">
        <is>
          <t>38950, 38951, 38969, 38970, 38973, 38981, 38982, 38988, 38989, 59376</t>
        </is>
      </c>
    </row>
    <row r="21">
      <c r="A21" s="6" t="inlineStr">
        <is>
          <t>Multi-Session/Conversation Support</t>
        </is>
      </c>
      <c r="B21" s="6" t="inlineStr">
        <is>
          <t>CodeQuality</t>
        </is>
      </c>
      <c r="C21" s="6" t="n">
        <v>10</v>
      </c>
      <c r="D21" s="20" t="n">
        <v>0.278</v>
      </c>
      <c r="E21" s="6" t="inlineStr">
        <is>
          <t>28%</t>
        </is>
      </c>
      <c r="F21" s="5" t="inlineStr">
        <is>
          <t>38952, 38953, 38963, 38970, 38981, 38982, 38988, 38993, 59373, 59378</t>
        </is>
      </c>
    </row>
    <row r="22">
      <c r="A22" s="6" t="inlineStr">
        <is>
          <t>Prompt Book/Engineering Documentation</t>
        </is>
      </c>
      <c r="B22" s="6" t="inlineStr">
        <is>
          <t>Documentation</t>
        </is>
      </c>
      <c r="C22" s="6" t="n">
        <v>9</v>
      </c>
      <c r="D22" s="20" t="n">
        <v>0.25</v>
      </c>
      <c r="E22" s="6" t="inlineStr">
        <is>
          <t>25%</t>
        </is>
      </c>
      <c r="F22" s="5" t="inlineStr">
        <is>
          <t>38954, 38955, 38958, 38959, 38960, 38962, 38964, 38977, 38982</t>
        </is>
      </c>
    </row>
    <row r="23">
      <c r="A23" s="6" t="inlineStr">
        <is>
          <t>Quick Start Guide</t>
        </is>
      </c>
      <c r="B23" s="6" t="inlineStr">
        <is>
          <t>Documentation</t>
        </is>
      </c>
      <c r="C23" s="6" t="n">
        <v>8</v>
      </c>
      <c r="D23" s="20" t="n">
        <v>0.222</v>
      </c>
      <c r="E23" s="6" t="inlineStr">
        <is>
          <t>22%</t>
        </is>
      </c>
      <c r="F23" s="5" t="inlineStr">
        <is>
          <t>38950, 38951, 38952, 38959, 38960, 38970, 38981, 59375</t>
        </is>
      </c>
    </row>
    <row r="24">
      <c r="A24" s="6" t="inlineStr">
        <is>
          <t>TypeScript</t>
        </is>
      </c>
      <c r="B24" s="6" t="inlineStr">
        <is>
          <t>CodeQuality</t>
        </is>
      </c>
      <c r="C24" s="6" t="n">
        <v>7</v>
      </c>
      <c r="D24" s="20" t="n">
        <v>0.194</v>
      </c>
      <c r="E24" s="6" t="inlineStr">
        <is>
          <t>19%</t>
        </is>
      </c>
      <c r="F24" s="5" t="inlineStr">
        <is>
          <t>38950, 38951, 38970, 38982, 38988, 38989, 38993</t>
        </is>
      </c>
    </row>
    <row r="25">
      <c r="A25" s="6" t="inlineStr">
        <is>
          <t>CI/CD Pipeline</t>
        </is>
      </c>
      <c r="B25" s="6" t="inlineStr">
        <is>
          <t>DevOps</t>
        </is>
      </c>
      <c r="C25" s="6" t="n">
        <v>7</v>
      </c>
      <c r="D25" s="20" t="n">
        <v>0.194</v>
      </c>
      <c r="E25" s="6" t="inlineStr">
        <is>
          <t>19%</t>
        </is>
      </c>
      <c r="F25" s="5" t="inlineStr">
        <is>
          <t>38950, 38951, 38970, 38981, 38988, 38989, 59378</t>
        </is>
      </c>
    </row>
    <row r="26">
      <c r="A26" s="6" t="inlineStr">
        <is>
          <t>License</t>
        </is>
      </c>
      <c r="B26" s="6" t="inlineStr">
        <is>
          <t>Documentation</t>
        </is>
      </c>
      <c r="C26" s="6" t="n">
        <v>6</v>
      </c>
      <c r="D26" s="20" t="n">
        <v>0.167</v>
      </c>
      <c r="E26" s="6" t="inlineStr">
        <is>
          <t>17%</t>
        </is>
      </c>
      <c r="F26" s="5" t="inlineStr">
        <is>
          <t>38950, 38951, 38952, 38970, 38981, 59373</t>
        </is>
      </c>
    </row>
    <row r="27">
      <c r="A27" s="6" t="inlineStr">
        <is>
          <t>Functional Requirements</t>
        </is>
      </c>
      <c r="B27" s="6" t="inlineStr">
        <is>
          <t>Planning</t>
        </is>
      </c>
      <c r="C27" s="6" t="n">
        <v>6</v>
      </c>
      <c r="D27" s="20" t="n">
        <v>0.167</v>
      </c>
      <c r="E27" s="6" t="inlineStr">
        <is>
          <t>17%</t>
        </is>
      </c>
      <c r="F27" s="5" t="inlineStr">
        <is>
          <t>38950, 38953, 38959, 38960, 38970, 38979</t>
        </is>
      </c>
    </row>
    <row r="28">
      <c r="A28" s="6" t="inlineStr">
        <is>
          <t>Architecture Decision Records (ADRs)</t>
        </is>
      </c>
      <c r="B28" s="6" t="inlineStr">
        <is>
          <t>Planning</t>
        </is>
      </c>
      <c r="C28" s="6" t="n">
        <v>6</v>
      </c>
      <c r="D28" s="20" t="n">
        <v>0.167</v>
      </c>
      <c r="E28" s="6" t="inlineStr">
        <is>
          <t>17%</t>
        </is>
      </c>
      <c r="F28" s="5" t="inlineStr">
        <is>
          <t>38959, 38960, 38970, 38979, 38980, 38982</t>
        </is>
      </c>
    </row>
    <row r="29">
      <c r="A29" s="6" t="inlineStr">
        <is>
          <t>Performance Metrics</t>
        </is>
      </c>
      <c r="B29" s="6" t="inlineStr">
        <is>
          <t>Planning</t>
        </is>
      </c>
      <c r="C29" s="6" t="n">
        <v>6</v>
      </c>
      <c r="D29" s="20" t="n">
        <v>0.167</v>
      </c>
      <c r="E29" s="6" t="inlineStr">
        <is>
          <t>17%</t>
        </is>
      </c>
      <c r="F29" s="5" t="inlineStr">
        <is>
          <t>38950, 38951, 38952, 38970, 38979, 38980</t>
        </is>
      </c>
    </row>
    <row r="30">
      <c r="A30" s="6" t="inlineStr">
        <is>
          <t>Troubleshooting Guide</t>
        </is>
      </c>
      <c r="B30" s="6" t="inlineStr">
        <is>
          <t>Documentation</t>
        </is>
      </c>
      <c r="C30" s="6" t="n">
        <v>5</v>
      </c>
      <c r="D30" s="20" t="n">
        <v>0.139</v>
      </c>
      <c r="E30" s="6" t="inlineStr">
        <is>
          <t>14%</t>
        </is>
      </c>
      <c r="F30" s="5" t="inlineStr">
        <is>
          <t>38950, 38951, 38952, 38970, 38981</t>
        </is>
      </c>
    </row>
    <row r="31">
      <c r="A31" s="6" t="inlineStr">
        <is>
          <t>Contributing Guide</t>
        </is>
      </c>
      <c r="B31" s="6" t="inlineStr">
        <is>
          <t>Documentation</t>
        </is>
      </c>
      <c r="C31" s="6" t="n">
        <v>5</v>
      </c>
      <c r="D31" s="20" t="n">
        <v>0.139</v>
      </c>
      <c r="E31" s="6" t="inlineStr">
        <is>
          <t>14%</t>
        </is>
      </c>
      <c r="F31" s="5" t="inlineStr">
        <is>
          <t>38950, 38951, 38952, 38970, 38981</t>
        </is>
      </c>
    </row>
    <row r="32">
      <c r="A32" s="6" t="inlineStr">
        <is>
          <t>Docker Support</t>
        </is>
      </c>
      <c r="B32" s="6" t="inlineStr">
        <is>
          <t>DevOps</t>
        </is>
      </c>
      <c r="C32" s="6" t="n">
        <v>5</v>
      </c>
      <c r="D32" s="20" t="n">
        <v>0.139</v>
      </c>
      <c r="E32" s="6" t="inlineStr">
        <is>
          <t>14%</t>
        </is>
      </c>
      <c r="F32" s="5" t="inlineStr">
        <is>
          <t>38951, 38953, 38970, 38981, 38988</t>
        </is>
      </c>
    </row>
    <row r="33">
      <c r="A33" s="6" t="inlineStr">
        <is>
          <t>Cost Analysis</t>
        </is>
      </c>
      <c r="B33" s="6" t="inlineStr">
        <is>
          <t>Business</t>
        </is>
      </c>
      <c r="C33" s="6" t="n">
        <v>5</v>
      </c>
      <c r="D33" s="20" t="n">
        <v>0.139</v>
      </c>
      <c r="E33" s="6" t="inlineStr">
        <is>
          <t>14%</t>
        </is>
      </c>
      <c r="F33" s="5" t="inlineStr">
        <is>
          <t>38959, 38960, 38979, 38980, 38981</t>
        </is>
      </c>
    </row>
    <row r="34">
      <c r="A34" s="6" t="inlineStr">
        <is>
          <t>Architecture/Flow Diagrams</t>
        </is>
      </c>
      <c r="B34" s="6" t="inlineStr">
        <is>
          <t>Visuals</t>
        </is>
      </c>
      <c r="C34" s="6" t="n">
        <v>5</v>
      </c>
      <c r="D34" s="20" t="n">
        <v>0.139</v>
      </c>
      <c r="E34" s="6" t="inlineStr">
        <is>
          <t>14%</t>
        </is>
      </c>
      <c r="F34" s="5" t="inlineStr">
        <is>
          <t>38950, 38959, 38960, 38970, 38981</t>
        </is>
      </c>
    </row>
    <row r="35">
      <c r="A35" s="6" t="inlineStr">
        <is>
          <t>Deployment Guide</t>
        </is>
      </c>
      <c r="B35" s="6" t="inlineStr">
        <is>
          <t>DevOps</t>
        </is>
      </c>
      <c r="C35" s="6" t="n">
        <v>4</v>
      </c>
      <c r="D35" s="20" t="n">
        <v>0.111</v>
      </c>
      <c r="E35" s="6" t="inlineStr">
        <is>
          <t>11%</t>
        </is>
      </c>
      <c r="F35" s="5" t="inlineStr">
        <is>
          <t>38970, 38979, 38980, 38981</t>
        </is>
      </c>
    </row>
    <row r="36">
      <c r="A36" s="6" t="inlineStr">
        <is>
          <t>User Stories</t>
        </is>
      </c>
      <c r="B36" s="6" t="inlineStr">
        <is>
          <t>Planning</t>
        </is>
      </c>
      <c r="C36" s="6" t="n">
        <v>4</v>
      </c>
      <c r="D36" s="20" t="n">
        <v>0.111</v>
      </c>
      <c r="E36" s="6" t="inlineStr">
        <is>
          <t>11%</t>
        </is>
      </c>
      <c r="F36" s="5" t="inlineStr">
        <is>
          <t>38950, 38953, 38970, 38979</t>
        </is>
      </c>
    </row>
    <row r="37">
      <c r="A37" s="6" t="inlineStr">
        <is>
          <t>Model Comparison Research</t>
        </is>
      </c>
      <c r="B37" s="6" t="inlineStr">
        <is>
          <t>Research</t>
        </is>
      </c>
      <c r="C37" s="6" t="n">
        <v>4</v>
      </c>
      <c r="D37" s="20" t="n">
        <v>0.111</v>
      </c>
      <c r="E37" s="6" t="inlineStr">
        <is>
          <t>11%</t>
        </is>
      </c>
      <c r="F37" s="5" t="inlineStr">
        <is>
          <t>38953, 38979, 38980, 38988</t>
        </is>
      </c>
    </row>
    <row r="38">
      <c r="A38" s="6" t="inlineStr">
        <is>
          <t>Code Quality Tools (Linting/Formatting)</t>
        </is>
      </c>
      <c r="B38" s="6" t="inlineStr">
        <is>
          <t>CodeQuality</t>
        </is>
      </c>
      <c r="C38" s="6" t="n">
        <v>4</v>
      </c>
      <c r="D38" s="20" t="n">
        <v>0.111</v>
      </c>
      <c r="E38" s="6" t="inlineStr">
        <is>
          <t>11%</t>
        </is>
      </c>
      <c r="F38" s="5" t="inlineStr">
        <is>
          <t>38950, 38970, 38981, 38982</t>
        </is>
      </c>
    </row>
    <row r="39">
      <c r="A39" s="6" t="inlineStr">
        <is>
          <t>Accessibility Documentation</t>
        </is>
      </c>
      <c r="B39" s="6" t="inlineStr">
        <is>
          <t>Documentation</t>
        </is>
      </c>
      <c r="C39" s="6" t="n">
        <v>4</v>
      </c>
      <c r="D39" s="20" t="n">
        <v>0.111</v>
      </c>
      <c r="E39" s="6" t="inlineStr">
        <is>
          <t>11%</t>
        </is>
      </c>
      <c r="F39" s="5" t="inlineStr">
        <is>
          <t>38970, 38979, 38980, 38993</t>
        </is>
      </c>
    </row>
    <row r="40">
      <c r="A40" s="6" t="inlineStr">
        <is>
          <t>E2E Tests</t>
        </is>
      </c>
      <c r="B40" s="6" t="inlineStr">
        <is>
          <t>Testing</t>
        </is>
      </c>
      <c r="C40" s="6" t="n">
        <v>3</v>
      </c>
      <c r="D40" s="20" t="n">
        <v>0.083</v>
      </c>
      <c r="E40" s="6" t="inlineStr">
        <is>
          <t>8%</t>
        </is>
      </c>
      <c r="F40" s="5" t="inlineStr">
        <is>
          <t>38950, 38970, 38982</t>
        </is>
      </c>
    </row>
    <row r="41">
      <c r="A41" s="6" t="inlineStr">
        <is>
          <t>Export Functionality</t>
        </is>
      </c>
      <c r="B41" s="6" t="inlineStr">
        <is>
          <t>CodeQuality</t>
        </is>
      </c>
      <c r="C41" s="6" t="n">
        <v>3</v>
      </c>
      <c r="D41" s="20" t="n">
        <v>0.083</v>
      </c>
      <c r="E41" s="6" t="inlineStr">
        <is>
          <t>8%</t>
        </is>
      </c>
      <c r="F41" s="5" t="inlineStr">
        <is>
          <t>38952, 38981, 59373</t>
        </is>
      </c>
    </row>
    <row r="42">
      <c r="A42" s="6" t="inlineStr">
        <is>
          <t>GitHub Actions</t>
        </is>
      </c>
      <c r="B42" s="6" t="inlineStr">
        <is>
          <t>DevOps</t>
        </is>
      </c>
      <c r="C42" s="6" t="n">
        <v>3</v>
      </c>
      <c r="D42" s="20" t="n">
        <v>0.083</v>
      </c>
      <c r="E42" s="6" t="inlineStr">
        <is>
          <t>8%</t>
        </is>
      </c>
      <c r="F42" s="5" t="inlineStr">
        <is>
          <t>38981, 38988, 59378</t>
        </is>
      </c>
    </row>
    <row r="43">
      <c r="A43" s="6" t="inlineStr">
        <is>
          <t>Future Considerations/Roadmap</t>
        </is>
      </c>
      <c r="B43" s="6" t="inlineStr">
        <is>
          <t>Planning</t>
        </is>
      </c>
      <c r="C43" s="6" t="n">
        <v>3</v>
      </c>
      <c r="D43" s="20" t="n">
        <v>0.083</v>
      </c>
      <c r="E43" s="6" t="inlineStr">
        <is>
          <t>8%</t>
        </is>
      </c>
      <c r="F43" s="5" t="inlineStr">
        <is>
          <t>38950, 38953, 38970</t>
        </is>
      </c>
    </row>
    <row r="44">
      <c r="A44" s="6" t="inlineStr">
        <is>
          <t>Parameter Investigation/Sensitivity Analysis</t>
        </is>
      </c>
      <c r="B44" s="6" t="inlineStr">
        <is>
          <t>Research</t>
        </is>
      </c>
      <c r="C44" s="6" t="n">
        <v>3</v>
      </c>
      <c r="D44" s="20" t="n">
        <v>0.083</v>
      </c>
      <c r="E44" s="6" t="inlineStr">
        <is>
          <t>8%</t>
        </is>
      </c>
      <c r="F44" s="5" t="inlineStr">
        <is>
          <t>38959, 38960, 59375</t>
        </is>
      </c>
    </row>
    <row r="45">
      <c r="A45" s="6" t="inlineStr">
        <is>
          <t>Git Best Practices (Multiple Commits)</t>
        </is>
      </c>
      <c r="B45" s="6" t="inlineStr">
        <is>
          <t>DevOps</t>
        </is>
      </c>
      <c r="C45" s="6" t="n">
        <v>3</v>
      </c>
      <c r="D45" s="20" t="n">
        <v>0.083</v>
      </c>
      <c r="E45" s="6" t="inlineStr">
        <is>
          <t>8%</t>
        </is>
      </c>
      <c r="F45" s="5" t="inlineStr">
        <is>
          <t>38957, 38961, 38970</t>
        </is>
      </c>
    </row>
    <row r="46">
      <c r="A46" s="6" t="inlineStr">
        <is>
          <t>Multi-Agent Orchestration</t>
        </is>
      </c>
      <c r="B46" s="6" t="inlineStr">
        <is>
          <t>Uncategorized</t>
        </is>
      </c>
      <c r="C46" s="6" t="n">
        <v>3</v>
      </c>
      <c r="D46" s="20" t="n">
        <v>0.083</v>
      </c>
      <c r="E46" s="6" t="inlineStr">
        <is>
          <t>8%</t>
        </is>
      </c>
      <c r="F46" s="5" t="inlineStr">
        <is>
          <t>38971, 38973, 38985</t>
        </is>
      </c>
    </row>
    <row r="47">
      <c r="A47" s="6" t="inlineStr">
        <is>
          <t>Integration Tests</t>
        </is>
      </c>
      <c r="B47" s="6" t="inlineStr">
        <is>
          <t>Testing</t>
        </is>
      </c>
      <c r="C47" s="6" t="n">
        <v>2</v>
      </c>
      <c r="D47" s="20" t="n">
        <v>0.056</v>
      </c>
      <c r="E47" s="6" t="inlineStr">
        <is>
          <t>6%</t>
        </is>
      </c>
      <c r="F47" s="5" t="inlineStr">
        <is>
          <t>38950, 38985</t>
        </is>
      </c>
    </row>
    <row r="48">
      <c r="A48" s="6" t="inlineStr">
        <is>
          <t>User Profiles Feature</t>
        </is>
      </c>
      <c r="B48" s="6" t="inlineStr">
        <is>
          <t>CodeQuality</t>
        </is>
      </c>
      <c r="C48" s="6" t="n">
        <v>2</v>
      </c>
      <c r="D48" s="20" t="n">
        <v>0.056</v>
      </c>
      <c r="E48" s="6" t="inlineStr">
        <is>
          <t>6%</t>
        </is>
      </c>
      <c r="F48" s="5" t="inlineStr">
        <is>
          <t>38952, 59373</t>
        </is>
      </c>
    </row>
    <row r="49">
      <c r="A49" s="6" t="inlineStr">
        <is>
          <t>Non-Functional Requirements</t>
        </is>
      </c>
      <c r="B49" s="6" t="inlineStr">
        <is>
          <t>Planning</t>
        </is>
      </c>
      <c r="C49" s="6" t="n">
        <v>2</v>
      </c>
      <c r="D49" s="20" t="n">
        <v>0.056</v>
      </c>
      <c r="E49" s="6" t="inlineStr">
        <is>
          <t>6%</t>
        </is>
      </c>
      <c r="F49" s="5" t="inlineStr">
        <is>
          <t>38950, 38970</t>
        </is>
      </c>
    </row>
    <row r="50">
      <c r="A50" s="6" t="inlineStr">
        <is>
          <t>KPIs/Success Metrics</t>
        </is>
      </c>
      <c r="B50" s="6" t="inlineStr">
        <is>
          <t>Business</t>
        </is>
      </c>
      <c r="C50" s="6" t="n">
        <v>2</v>
      </c>
      <c r="D50" s="20" t="n">
        <v>0.056</v>
      </c>
      <c r="E50" s="6" t="inlineStr">
        <is>
          <t>6%</t>
        </is>
      </c>
      <c r="F50" s="5" t="inlineStr">
        <is>
          <t>38950, 38979</t>
        </is>
      </c>
    </row>
    <row r="51">
      <c r="A51" s="6" t="inlineStr">
        <is>
          <t>Results Analysis Notebook (Jupyter)</t>
        </is>
      </c>
      <c r="B51" s="6" t="inlineStr">
        <is>
          <t>Research</t>
        </is>
      </c>
      <c r="C51" s="6" t="n">
        <v>2</v>
      </c>
      <c r="D51" s="20" t="n">
        <v>0.056</v>
      </c>
      <c r="E51" s="6" t="inlineStr">
        <is>
          <t>6%</t>
        </is>
      </c>
      <c r="F51" s="5" t="inlineStr">
        <is>
          <t>38959, 38960</t>
        </is>
      </c>
    </row>
    <row r="52">
      <c r="A52" s="6" t="inlineStr">
        <is>
          <t>Charts/Interactive Dashboards</t>
        </is>
      </c>
      <c r="B52" s="6" t="inlineStr">
        <is>
          <t>Visuals</t>
        </is>
      </c>
      <c r="C52" s="6" t="n">
        <v>2</v>
      </c>
      <c r="D52" s="20" t="n">
        <v>0.056</v>
      </c>
      <c r="E52" s="6" t="inlineStr">
        <is>
          <t>6%</t>
        </is>
      </c>
      <c r="F52" s="5" t="inlineStr">
        <is>
          <t>38970, 38981</t>
        </is>
      </c>
    </row>
    <row r="53">
      <c r="A53" s="6" t="inlineStr">
        <is>
          <t>Plugin/Extension System</t>
        </is>
      </c>
      <c r="B53" s="6" t="inlineStr">
        <is>
          <t>CodeQuality</t>
        </is>
      </c>
      <c r="C53" s="6" t="n">
        <v>2</v>
      </c>
      <c r="D53" s="20" t="n">
        <v>0.056</v>
      </c>
      <c r="E53" s="6" t="inlineStr">
        <is>
          <t>6%</t>
        </is>
      </c>
      <c r="F53" s="5" t="inlineStr">
        <is>
          <t>38979, 38981</t>
        </is>
      </c>
    </row>
    <row r="54">
      <c r="A54" s="6" t="inlineStr">
        <is>
          <t>Dual Interface (Multiple Frontends)</t>
        </is>
      </c>
      <c r="B54" s="6" t="inlineStr">
        <is>
          <t>Uncategorized</t>
        </is>
      </c>
      <c r="C54" s="6" t="n">
        <v>2</v>
      </c>
      <c r="D54" s="20" t="n">
        <v>0.056</v>
      </c>
      <c r="E54" s="6" t="inlineStr">
        <is>
          <t>6%</t>
        </is>
      </c>
      <c r="F54" s="5" t="inlineStr">
        <is>
          <t>38981, 59378</t>
        </is>
      </c>
    </row>
    <row r="55">
      <c r="A55" s="6" t="inlineStr">
        <is>
          <t>Security Scanning (CodeQL)</t>
        </is>
      </c>
      <c r="B55" s="6" t="inlineStr">
        <is>
          <t>DevOps</t>
        </is>
      </c>
      <c r="C55" s="6" t="n">
        <v>2</v>
      </c>
      <c r="D55" s="20" t="n">
        <v>0.056</v>
      </c>
      <c r="E55" s="6" t="inlineStr">
        <is>
          <t>6%</t>
        </is>
      </c>
      <c r="F55" s="5" t="inlineStr">
        <is>
          <t>38981, 59378</t>
        </is>
      </c>
    </row>
    <row r="56">
      <c r="A56" s="6" t="inlineStr">
        <is>
          <t>Kubernetes Support</t>
        </is>
      </c>
      <c r="B56" s="6" t="inlineStr">
        <is>
          <t>DevOps</t>
        </is>
      </c>
      <c r="C56" s="6" t="n">
        <v>1</v>
      </c>
      <c r="D56" s="20" t="n">
        <v>0.028</v>
      </c>
      <c r="E56" s="6" t="inlineStr">
        <is>
          <t>3%</t>
        </is>
      </c>
      <c r="F56" s="5" t="inlineStr">
        <is>
          <t>38970</t>
        </is>
      </c>
    </row>
    <row r="57">
      <c r="A57" s="6" t="inlineStr">
        <is>
          <t>Voice Input Support</t>
        </is>
      </c>
      <c r="B57" s="6" t="inlineStr">
        <is>
          <t>Uncategorized</t>
        </is>
      </c>
      <c r="C57" s="6" t="n">
        <v>1</v>
      </c>
      <c r="D57" s="20" t="n">
        <v>0.028</v>
      </c>
      <c r="E57" s="6" t="inlineStr">
        <is>
          <t>3%</t>
        </is>
      </c>
      <c r="F57" s="5" t="inlineStr">
        <is>
          <t>38980</t>
        </is>
      </c>
    </row>
    <row r="58">
      <c r="A58" s="6" t="inlineStr">
        <is>
          <t>File Upload Support</t>
        </is>
      </c>
      <c r="B58" s="6" t="inlineStr">
        <is>
          <t>Uncategorized</t>
        </is>
      </c>
      <c r="C58" s="6" t="n">
        <v>1</v>
      </c>
      <c r="D58" s="20" t="n">
        <v>0.028</v>
      </c>
      <c r="E58" s="6" t="inlineStr">
        <is>
          <t>3%</t>
        </is>
      </c>
      <c r="F58" s="5" t="inlineStr">
        <is>
          <t>59376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21" t="inlineStr">
        <is>
          <t>Evaluation Summary</t>
        </is>
      </c>
      <c r="B1" t="inlineStr"/>
    </row>
    <row r="2">
      <c r="A2" t="inlineStr"/>
      <c r="B2" t="inlineStr"/>
    </row>
    <row r="3">
      <c r="A3" t="inlineStr">
        <is>
          <t>Total Students</t>
        </is>
      </c>
      <c r="B3" t="n">
        <v>36</v>
      </c>
    </row>
    <row r="4">
      <c r="A4" t="inlineStr">
        <is>
          <t>Total Criteria</t>
        </is>
      </c>
      <c r="B4" t="n">
        <v>58</v>
      </c>
    </row>
    <row r="5">
      <c r="A5" t="inlineStr">
        <is>
          <t>Categorized</t>
        </is>
      </c>
      <c r="B5" t="n">
        <v>54</v>
      </c>
    </row>
    <row r="6">
      <c r="A6" t="inlineStr">
        <is>
          <t>Uncategorized</t>
        </is>
      </c>
      <c r="B6" t="n">
        <v>4</v>
      </c>
    </row>
    <row r="7">
      <c r="A7" t="inlineStr">
        <is>
          <t>Duplicate Submissions</t>
        </is>
      </c>
      <c r="B7" t="n">
        <v>5</v>
      </c>
    </row>
    <row r="8">
      <c r="A8" t="inlineStr"/>
      <c r="B8" t="inlineStr"/>
    </row>
    <row r="9">
      <c r="A9" s="21" t="inlineStr">
        <is>
          <t>Grade Statistics</t>
        </is>
      </c>
      <c r="B9" t="inlineStr"/>
    </row>
    <row r="10">
      <c r="A10" t="inlineStr"/>
      <c r="B10" t="inlineStr"/>
    </row>
    <row r="11">
      <c r="A11" t="inlineStr">
        <is>
          <t>Mean Grade</t>
        </is>
      </c>
      <c r="B11" t="n">
        <v>75.40000000000001</v>
      </c>
    </row>
    <row r="12">
      <c r="A12" t="inlineStr">
        <is>
          <t>Median Grade</t>
        </is>
      </c>
      <c r="B12" t="n">
        <v>74.40000000000001</v>
      </c>
    </row>
    <row r="13">
      <c r="A13" t="inlineStr">
        <is>
          <t>Highest Grade</t>
        </is>
      </c>
      <c r="B13" t="n">
        <v>100</v>
      </c>
    </row>
    <row r="14">
      <c r="A14" t="inlineStr">
        <is>
          <t>Lowest Grade</t>
        </is>
      </c>
      <c r="B14" t="n">
        <v>53.3</v>
      </c>
    </row>
    <row r="15">
      <c r="A15" t="inlineStr">
        <is>
          <t>Standard Deviation</t>
        </is>
      </c>
      <c r="B15" t="n">
        <v>11.8</v>
      </c>
    </row>
    <row r="16">
      <c r="A16" t="inlineStr"/>
      <c r="B16" t="inlineStr"/>
    </row>
    <row r="17">
      <c r="A17" s="21" t="inlineStr">
        <is>
          <t>Grade Distribution</t>
        </is>
      </c>
      <c r="B17" t="inlineStr"/>
    </row>
    <row r="18">
      <c r="A18" t="inlineStr"/>
      <c r="B18" t="inlineStr"/>
    </row>
    <row r="19">
      <c r="A19" t="inlineStr">
        <is>
          <t>90-100 (A)</t>
        </is>
      </c>
      <c r="B19" t="inlineStr">
        <is>
          <t>6 students (17%)</t>
        </is>
      </c>
    </row>
    <row r="20">
      <c r="A20" t="inlineStr">
        <is>
          <t>80-89 (B)</t>
        </is>
      </c>
      <c r="B20" t="inlineStr">
        <is>
          <t>6 students (17%)</t>
        </is>
      </c>
    </row>
    <row r="21">
      <c r="A21" t="inlineStr">
        <is>
          <t>70-79 (C)</t>
        </is>
      </c>
      <c r="B21" t="inlineStr">
        <is>
          <t>10 students (28%)</t>
        </is>
      </c>
    </row>
    <row r="22">
      <c r="A22" t="inlineStr">
        <is>
          <t>60-69 (D)</t>
        </is>
      </c>
      <c r="B22" t="inlineStr">
        <is>
          <t>10 students (28%)</t>
        </is>
      </c>
    </row>
    <row r="23">
      <c r="A23" t="inlineStr">
        <is>
          <t>Below 60 (F)</t>
        </is>
      </c>
      <c r="B23" t="inlineStr">
        <is>
          <t>4 students (11%)</t>
        </is>
      </c>
    </row>
    <row r="24">
      <c r="A24" t="inlineStr"/>
      <c r="B24" t="inlineStr"/>
    </row>
    <row r="25">
      <c r="A25" s="21" t="inlineStr">
        <is>
          <t>Duplicates Identified</t>
        </is>
      </c>
      <c r="B25" t="inlineStr"/>
    </row>
    <row r="26">
      <c r="A26" t="inlineStr"/>
      <c r="B26" t="inlineStr"/>
    </row>
    <row r="27">
      <c r="A27" t="inlineStr">
        <is>
          <t>38957</t>
        </is>
      </c>
      <c r="B27">
        <f> 38951</f>
        <v/>
      </c>
    </row>
    <row r="28">
      <c r="A28" t="inlineStr">
        <is>
          <t>38958</t>
        </is>
      </c>
      <c r="B28">
        <f> 38950</f>
        <v/>
      </c>
    </row>
    <row r="29">
      <c r="A29" t="inlineStr">
        <is>
          <t>38960</t>
        </is>
      </c>
      <c r="B29">
        <f> 38959</f>
        <v/>
      </c>
    </row>
    <row r="30">
      <c r="A30" t="inlineStr">
        <is>
          <t>38964</t>
        </is>
      </c>
      <c r="B30">
        <f> 38954</f>
        <v/>
      </c>
    </row>
    <row r="31">
      <c r="A31" t="inlineStr">
        <is>
          <t>38989</t>
        </is>
      </c>
      <c r="B31">
        <f> 38988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2025-12-18T19:00:16Z</dcterms:created>
  <dcterms:modified xsi:type="dcterms:W3CDTF">2025-12-18T19:00:16Z</dcterms:modified>
</cp:coreProperties>
</file>